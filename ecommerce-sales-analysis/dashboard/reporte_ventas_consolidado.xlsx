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53c0d2823825bc/Escritorio/Libros de Excel/"/>
    </mc:Choice>
  </mc:AlternateContent>
  <xr:revisionPtr revIDLastSave="0" documentId="8_{400A3312-B17B-452B-B208-F6FFAEBDECA6}" xr6:coauthVersionLast="47" xr6:coauthVersionMax="47" xr10:uidLastSave="{00000000-0000-0000-0000-000000000000}"/>
  <bookViews>
    <workbookView xWindow="-108" yWindow="-108" windowWidth="23256" windowHeight="13896" activeTab="2" xr2:uid="{B8962736-25E2-43FD-9A12-0EFA5D687DA7}"/>
  </bookViews>
  <sheets>
    <sheet name="reporte_ventas_consolidado" sheetId="2" r:id="rId1"/>
    <sheet name="Tablas_Dinamicas" sheetId="3" r:id="rId2"/>
    <sheet name="Dashboard" sheetId="8" r:id="rId3"/>
  </sheets>
  <definedNames>
    <definedName name="DatosExternos_1" localSheetId="0" hidden="1">'reporte_ventas_consolidado'!$B$2:$K$14</definedName>
    <definedName name="SegmentaciónDeDatos_categoria">#N/A</definedName>
    <definedName name="SegmentaciónDeDatos_pais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6" i="8" l="1"/>
  <c r="J24" i="8" l="1"/>
  <c r="J21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116696-523C-4EA2-91E8-70C84E44E6B4}" keepAlive="1" name="Consulta - reporte_ventas_consolidado" description="Conexión a la consulta 'reporte_ventas_consolidado' en el libro." type="5" refreshedVersion="8" background="1" saveData="1">
    <dbPr connection="Provider=Microsoft.Mashup.OleDb.1;Data Source=$Workbook$;Location=reporte_ventas_consolidado;Extended Properties=&quot;&quot;" command="SELECT * FROM [reporte_ventas_consolidado]"/>
  </connection>
</connections>
</file>

<file path=xl/sharedStrings.xml><?xml version="1.0" encoding="utf-8"?>
<sst xmlns="http://schemas.openxmlformats.org/spreadsheetml/2006/main" count="80" uniqueCount="45">
  <si>
    <t>venta_id</t>
  </si>
  <si>
    <t>fecha_venta</t>
  </si>
  <si>
    <t>cliente_id</t>
  </si>
  <si>
    <t>cliente</t>
  </si>
  <si>
    <t>pais</t>
  </si>
  <si>
    <t>categoria</t>
  </si>
  <si>
    <t>producto</t>
  </si>
  <si>
    <t>cantidad</t>
  </si>
  <si>
    <t>precio_unitario</t>
  </si>
  <si>
    <t>total_ventas</t>
  </si>
  <si>
    <t>Carlos Gómez</t>
  </si>
  <si>
    <t>México</t>
  </si>
  <si>
    <t>Electrónica</t>
  </si>
  <si>
    <t>Laptop Pro 15</t>
  </si>
  <si>
    <t>Ana Martínez</t>
  </si>
  <si>
    <t>Colombia</t>
  </si>
  <si>
    <t>Hogar</t>
  </si>
  <si>
    <t>Cafetera Espresso</t>
  </si>
  <si>
    <t>Mouse Inalámbrico</t>
  </si>
  <si>
    <t>Luis Fernández</t>
  </si>
  <si>
    <t>Argentina</t>
  </si>
  <si>
    <t>Ropa</t>
  </si>
  <si>
    <t>Chaqueta de Cuero</t>
  </si>
  <si>
    <t>María López</t>
  </si>
  <si>
    <t>España</t>
  </si>
  <si>
    <t>Audífonos Bluetooth</t>
  </si>
  <si>
    <t>Set de Sartenes</t>
  </si>
  <si>
    <t>Javier Rodríguez</t>
  </si>
  <si>
    <t>Zapatillas Deportivas</t>
  </si>
  <si>
    <t>Monitor 27 Pulgadas</t>
  </si>
  <si>
    <t>Camisa Algodón</t>
  </si>
  <si>
    <t>Sofia Torres</t>
  </si>
  <si>
    <t>Aspiradora Robot</t>
  </si>
  <si>
    <t>Teclado Mecánico</t>
  </si>
  <si>
    <t>Tablet 10 Pulgadas</t>
  </si>
  <si>
    <t>Etiquetas de fila</t>
  </si>
  <si>
    <t>Total general</t>
  </si>
  <si>
    <t>Suma de total_ventas</t>
  </si>
  <si>
    <t>Tabla Dinámica 2 (Tendencia Mensual)</t>
  </si>
  <si>
    <t>ene</t>
  </si>
  <si>
    <t>feb</t>
  </si>
  <si>
    <t>mar</t>
  </si>
  <si>
    <t>abr</t>
  </si>
  <si>
    <t>Tabla Dinámica 3 (Top Clientes por Gasto)</t>
  </si>
  <si>
    <t>Tabla Dinámica 1 (Ingresos por Categoria)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</si>
</sst>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0" fontId="2" fillId="0" borderId="0" xfId="0" applyFont="1"/>
    <xf numFmtId="44" fontId="3" fillId="0" borderId="0" xfId="0" applyNumberFormat="1" applyFont="1"/>
    <xf numFmtId="0" fontId="0" fillId="0" borderId="1" xfId="0" applyBorder="1"/>
    <xf numFmtId="44" fontId="0" fillId="0" borderId="2" xfId="1" applyFont="1" applyBorder="1"/>
    <xf numFmtId="0" fontId="0" fillId="0" borderId="3" xfId="0" applyBorder="1"/>
    <xf numFmtId="0" fontId="0" fillId="0" borderId="4" xfId="0" applyBorder="1"/>
    <xf numFmtId="44" fontId="0" fillId="0" borderId="0" xfId="1" applyFont="1" applyBorder="1"/>
    <xf numFmtId="0" fontId="0" fillId="0" borderId="5" xfId="0" applyBorder="1"/>
    <xf numFmtId="44" fontId="4" fillId="0" borderId="5" xfId="1" applyFont="1" applyBorder="1"/>
    <xf numFmtId="0" fontId="4" fillId="0" borderId="5" xfId="0" applyFont="1" applyBorder="1"/>
    <xf numFmtId="4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</cellXfs>
  <cellStyles count="2">
    <cellStyle name="Moneda" xfId="1" builtinId="4"/>
    <cellStyle name="Normal" xfId="0" builtinId="0"/>
  </cellStyles>
  <dxfs count="13"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[reporte_ventas_consolidado.xlsx]Tablas_Dinamicas!TablaDinámica3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Top 3 Clientes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Tablas_Dinamicas!$G$7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Tablas_Dinamicas!$F$8:$F$11</c:f>
              <c:strCache>
                <c:ptCount val="3"/>
                <c:pt idx="0">
                  <c:v>Carlos Gómez</c:v>
                </c:pt>
                <c:pt idx="1">
                  <c:v>Ana Martínez</c:v>
                </c:pt>
                <c:pt idx="2">
                  <c:v>Luis Fernández</c:v>
                </c:pt>
              </c:strCache>
            </c:strRef>
          </c:cat>
          <c:val>
            <c:numRef>
              <c:f>Tablas_Dinamicas!$G$8:$G$11</c:f>
              <c:numCache>
                <c:formatCode>_("$"* #,##0.00_);_("$"* \(#,##0.00\);_("$"* "-"??_);_(@_)</c:formatCode>
                <c:ptCount val="3"/>
                <c:pt idx="0">
                  <c:v>155000</c:v>
                </c:pt>
                <c:pt idx="1">
                  <c:v>46000</c:v>
                </c:pt>
                <c:pt idx="2">
                  <c:v>28500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6-484C-B8F1-7CFA01CC7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53471"/>
        <c:axId val="518095631"/>
      </c:barChart>
      <c:catAx>
        <c:axId val="1715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8095631"/>
        <c:crosses val="autoZero"/>
        <c:auto val="1"/>
        <c:lblAlgn val="ctr"/>
        <c:lblOffset val="100"/>
        <c:noMultiLvlLbl val="0"/>
      </c:catAx>
      <c:valAx>
        <c:axId val="51809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15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[reporte_ventas_consolidado.xlsx]Tablas_Dinamicas!TablaDinámica1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Ventas por Categoría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Tablas_Dinamicas!$C$7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Tablas_Dinamicas!$B$8:$B$11</c:f>
              <c:strCache>
                <c:ptCount val="3"/>
                <c:pt idx="0">
                  <c:v>Electrónica</c:v>
                </c:pt>
                <c:pt idx="1">
                  <c:v>Hogar</c:v>
                </c:pt>
                <c:pt idx="2">
                  <c:v>Ropa</c:v>
                </c:pt>
              </c:strCache>
            </c:strRef>
          </c:cat>
          <c:val>
            <c:numRef>
              <c:f>Tablas_Dinamicas!$C$8:$C$11</c:f>
              <c:numCache>
                <c:formatCode>_("$"* #,##0.00_);_("$"* \(#,##0.00\);_("$"* "-"??_);_(@_)</c:formatCode>
                <c:ptCount val="3"/>
                <c:pt idx="0">
                  <c:v>194500</c:v>
                </c:pt>
                <c:pt idx="1">
                  <c:v>49000</c:v>
                </c:pt>
                <c:pt idx="2">
                  <c:v>39500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F-4063-BBBD-ACFCA3D9B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82239"/>
        <c:axId val="227108975"/>
      </c:barChart>
      <c:catAx>
        <c:axId val="1718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7108975"/>
        <c:crosses val="autoZero"/>
        <c:auto val="1"/>
        <c:lblAlgn val="ctr"/>
        <c:lblOffset val="100"/>
        <c:noMultiLvlLbl val="0"/>
      </c:catAx>
      <c:valAx>
        <c:axId val="22710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18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[reporte_ventas_consolidado.xlsx]Tablas_Dinamicas!TablaDinámica2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Evolución Mensual de Ventas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Tablas_Dinamicas!$C$15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Tablas_Dinamicas!$B$16:$B$20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Tablas_Dinamicas!$C$16:$C$20</c:f>
              <c:numCache>
                <c:formatCode>_("$"* #,##0.00_);_("$"* \(#,##0.00\);_("$"* "-"??_);_(@_)</c:formatCode>
                <c:ptCount val="4"/>
                <c:pt idx="0">
                  <c:v>120000</c:v>
                </c:pt>
                <c:pt idx="1">
                  <c:v>38000</c:v>
                </c:pt>
                <c:pt idx="2">
                  <c:v>58000</c:v>
                </c:pt>
                <c:pt idx="3">
                  <c:v>67000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21-4DDC-B080-7F93F632F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32591"/>
        <c:axId val="518077871"/>
      </c:lineChart>
      <c:catAx>
        <c:axId val="1713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8077871"/>
        <c:crosses val="autoZero"/>
        <c:auto val="1"/>
        <c:lblAlgn val="ctr"/>
        <c:lblOffset val="100"/>
        <c:noMultiLvlLbl val="0"/>
      </c:catAx>
      <c:valAx>
        <c:axId val="51807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13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148045</xdr:colOff>
      <xdr:row>7</xdr:row>
      <xdr:rowOff>88174</xdr:rowOff>
    </xdr:from>
    <xdr:to>
      <xdr:col>20</xdr:col>
      <xdr:colOff>710293</xdr:colOff>
      <xdr:row>12</xdr:row>
      <xdr:rowOff>84364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8F2CBAA-FC25-1641-9D59-05C19F0BB691}"/>
            </a:ext>
          </a:extLst>
        </xdr:cNvPr>
        <xdr:cNvSpPr/>
      </xdr:nvSpPr>
      <xdr:spPr>
        <a:xfrm>
          <a:off x="8377645" y="1383574"/>
          <a:ext cx="8508819" cy="9214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4000" b="1"/>
            <a:t>Reporte Ejecutivo de Ventas &amp; Clientes</a:t>
          </a:r>
        </a:p>
      </xdr:txBody>
    </xdr:sp>
    <xdr:clientData/>
  </xdr:twoCellAnchor>
  <xdr:twoCellAnchor>
    <xdr:from>
      <xdr:col>16</xdr:col>
      <xdr:colOff>678816</xdr:colOff>
      <xdr:row>26</xdr:row>
      <xdr:rowOff>65315</xdr:rowOff>
    </xdr:from>
    <xdr:to>
      <xdr:col>25</xdr:col>
      <xdr:colOff>239485</xdr:colOff>
      <xdr:row>47</xdr:row>
      <xdr:rowOff>87086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A87A7F-AABA-4952-BA50-E1D92EF6C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132564</xdr:colOff>
      <xdr:row>26</xdr:row>
      <xdr:rowOff>90352</xdr:rowOff>
    </xdr:from>
    <xdr:to>
      <xdr:col>8</xdr:col>
      <xdr:colOff>536666</xdr:colOff>
      <xdr:row>46</xdr:row>
      <xdr:rowOff>175979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EF85A8-578A-43B2-B9BB-12C008D14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725455</xdr:colOff>
      <xdr:row>26</xdr:row>
      <xdr:rowOff>100149</xdr:rowOff>
    </xdr:from>
    <xdr:to>
      <xdr:col>16</xdr:col>
      <xdr:colOff>453933</xdr:colOff>
      <xdr:row>47</xdr:row>
      <xdr:rowOff>21772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742DF1-029C-40F9-90DB-826A9C8D7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163286</xdr:colOff>
      <xdr:row>14</xdr:row>
      <xdr:rowOff>158387</xdr:rowOff>
    </xdr:from>
    <xdr:to>
      <xdr:col>8</xdr:col>
      <xdr:colOff>701040</xdr:colOff>
      <xdr:row>16</xdr:row>
      <xdr:rowOff>130628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EDC7A3A8-071E-48D6-9E16-25A85320486F}"/>
            </a:ext>
          </a:extLst>
        </xdr:cNvPr>
        <xdr:cNvSpPr/>
      </xdr:nvSpPr>
      <xdr:spPr>
        <a:xfrm>
          <a:off x="5725886" y="2749187"/>
          <a:ext cx="1332411" cy="35324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050"/>
            <a:t>Ventas </a:t>
          </a:r>
          <a:r>
            <a:rPr lang="es-CO" sz="1100"/>
            <a:t>Totales</a:t>
          </a:r>
        </a:p>
      </xdr:txBody>
    </xdr:sp>
    <xdr:clientData/>
  </xdr:twoCellAnchor>
  <xdr:twoCellAnchor>
    <xdr:from>
      <xdr:col>7</xdr:col>
      <xdr:colOff>316774</xdr:colOff>
      <xdr:row>18</xdr:row>
      <xdr:rowOff>131717</xdr:rowOff>
    </xdr:from>
    <xdr:to>
      <xdr:col>8</xdr:col>
      <xdr:colOff>674914</xdr:colOff>
      <xdr:row>21</xdr:row>
      <xdr:rowOff>17417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C31B824-5A64-4CCE-A4F4-1D7F3EFDDCEA}"/>
            </a:ext>
          </a:extLst>
        </xdr:cNvPr>
        <xdr:cNvSpPr/>
      </xdr:nvSpPr>
      <xdr:spPr>
        <a:xfrm>
          <a:off x="5879374" y="3473631"/>
          <a:ext cx="1152797" cy="4517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Transacciones Totales</a:t>
          </a:r>
        </a:p>
      </xdr:txBody>
    </xdr:sp>
    <xdr:clientData/>
  </xdr:twoCellAnchor>
  <xdr:twoCellAnchor>
    <xdr:from>
      <xdr:col>7</xdr:col>
      <xdr:colOff>238397</xdr:colOff>
      <xdr:row>22</xdr:row>
      <xdr:rowOff>178526</xdr:rowOff>
    </xdr:from>
    <xdr:to>
      <xdr:col>8</xdr:col>
      <xdr:colOff>672737</xdr:colOff>
      <xdr:row>24</xdr:row>
      <xdr:rowOff>100149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DF21D4C3-FE80-4482-B964-F530DD71F6E9}"/>
            </a:ext>
          </a:extLst>
        </xdr:cNvPr>
        <xdr:cNvSpPr/>
      </xdr:nvSpPr>
      <xdr:spPr>
        <a:xfrm>
          <a:off x="5800997" y="4271555"/>
          <a:ext cx="1228997" cy="2917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Ticket Promedio</a:t>
          </a:r>
        </a:p>
      </xdr:txBody>
    </xdr:sp>
    <xdr:clientData/>
  </xdr:twoCellAnchor>
  <xdr:twoCellAnchor editAs="oneCell">
    <xdr:from>
      <xdr:col>11</xdr:col>
      <xdr:colOff>32658</xdr:colOff>
      <xdr:row>14</xdr:row>
      <xdr:rowOff>163286</xdr:rowOff>
    </xdr:from>
    <xdr:to>
      <xdr:col>15</xdr:col>
      <xdr:colOff>4319</xdr:colOff>
      <xdr:row>22</xdr:row>
      <xdr:rowOff>108857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pais">
              <a:extLst>
                <a:ext uri="{FF2B5EF4-FFF2-40B4-BE49-F238E27FC236}">
                  <a16:creationId xmlns:a16="http://schemas.microsoft.com/office/drawing/2014/main" id="{58025AF3-3D38-6BA3-2CBF-CB75F4065E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i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6915" y="2754086"/>
              <a:ext cx="3150290" cy="144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228600</xdr:colOff>
      <xdr:row>14</xdr:row>
      <xdr:rowOff>163285</xdr:rowOff>
    </xdr:from>
    <xdr:to>
      <xdr:col>19</xdr:col>
      <xdr:colOff>272143</xdr:colOff>
      <xdr:row>22</xdr:row>
      <xdr:rowOff>87085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ategoria">
              <a:extLst>
                <a:ext uri="{FF2B5EF4-FFF2-40B4-BE49-F238E27FC236}">
                  <a16:creationId xmlns:a16="http://schemas.microsoft.com/office/drawing/2014/main" id="{75581E6F-9A03-F24B-9916-14AF08147B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31486" y="2754085"/>
              <a:ext cx="3222171" cy="14260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io velaides" refreshedDate="46260.70035914352" createdVersion="8" refreshedVersion="8" minRefreshableVersion="3" recordCount="12" xr:uid="{8E879B5E-DD81-4202-87D6-B78C4DDA559B}">
  <cacheSource type="worksheet">
    <worksheetSource name="reporte_ventas_consolidado"/>
  </cacheSource>
  <cacheFields count="12">
    <cacheField name="venta_id" numFmtId="0">
      <sharedItems containsSemiMixedTypes="0" containsString="0" containsNumber="1" containsInteger="1" minValue="101" maxValue="112"/>
    </cacheField>
    <cacheField name="fecha_venta" numFmtId="14">
      <sharedItems containsSemiMixedTypes="0" containsNonDate="0" containsDate="1" containsString="0" minDate="2024-01-20T00:00:00" maxDate="2024-04-21T00:00:00" count="12">
        <d v="2024-01-20T00:00:00"/>
        <d v="2024-02-10T00:00:00"/>
        <d v="2024-02-15T00:00:00"/>
        <d v="2024-02-22T00:00:00"/>
        <d v="2024-03-10T00:00:00"/>
        <d v="2024-03-15T00:00:00"/>
        <d v="2024-03-18T00:00:00"/>
        <d v="2024-03-25T00:00:00"/>
        <d v="2024-04-02T00:00:00"/>
        <d v="2024-04-05T00:00:00"/>
        <d v="2024-04-12T00:00:00"/>
        <d v="2024-04-20T00:00:00"/>
      </sharedItems>
      <fieldGroup par="11"/>
    </cacheField>
    <cacheField name="cliente_id" numFmtId="0">
      <sharedItems containsSemiMixedTypes="0" containsString="0" containsNumber="1" containsInteger="1" minValue="1" maxValue="6"/>
    </cacheField>
    <cacheField name="cliente" numFmtId="0">
      <sharedItems count="6">
        <s v="Carlos Gómez"/>
        <s v="Ana Martínez"/>
        <s v="Luis Fernández"/>
        <s v="María López"/>
        <s v="Javier Rodríguez"/>
        <s v="Sofia Torres"/>
      </sharedItems>
    </cacheField>
    <cacheField name="pais" numFmtId="0">
      <sharedItems count="4">
        <s v="México"/>
        <s v="Colombia"/>
        <s v="Argentina"/>
        <s v="España"/>
      </sharedItems>
    </cacheField>
    <cacheField name="categoria" numFmtId="0">
      <sharedItems count="3">
        <s v="Electrónica"/>
        <s v="Hogar"/>
        <s v="Ropa"/>
      </sharedItems>
    </cacheField>
    <cacheField name="producto" numFmtId="0">
      <sharedItems/>
    </cacheField>
    <cacheField name="cantidad" numFmtId="0">
      <sharedItems containsSemiMixedTypes="0" containsString="0" containsNumber="1" containsInteger="1" minValue="1" maxValue="3"/>
    </cacheField>
    <cacheField name="precio_unitario" numFmtId="0">
      <sharedItems containsSemiMixedTypes="0" containsString="0" containsNumber="1" containsInteger="1" minValue="2500" maxValue="120000"/>
    </cacheField>
    <cacheField name="total_ventas" numFmtId="0">
      <sharedItems containsSemiMixedTypes="0" containsString="0" containsNumber="1" containsInteger="1" minValue="5000" maxValue="120000"/>
    </cacheField>
    <cacheField name="Días (fecha_venta)" numFmtId="0" databaseField="0">
      <fieldGroup base="1">
        <rangePr groupBy="days" startDate="2024-01-20T00:00:00" endDate="2024-04-21T00:00:00"/>
        <groupItems count="368">
          <s v="&lt;20/01/2024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1/04/2024"/>
        </groupItems>
      </fieldGroup>
    </cacheField>
    <cacheField name="Meses (fecha_venta)" numFmtId="0" databaseField="0">
      <fieldGroup base="1">
        <rangePr groupBy="months" startDate="2024-01-20T00:00:00" endDate="2024-04-21T00:00:00"/>
        <groupItems count="14">
          <s v="&lt;20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1/04/2024"/>
        </groupItems>
      </fieldGroup>
    </cacheField>
  </cacheFields>
  <extLst>
    <ext xmlns:x14="http://schemas.microsoft.com/office/spreadsheetml/2009/9/main" uri="{725AE2AE-9491-48be-B2B4-4EB974FC3084}">
      <x14:pivotCacheDefinition pivotCacheId="20988479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01"/>
    <x v="0"/>
    <n v="1"/>
    <x v="0"/>
    <x v="0"/>
    <x v="0"/>
    <s v="Laptop Pro 15"/>
    <n v="1"/>
    <n v="120000"/>
    <n v="120000"/>
  </r>
  <r>
    <n v="102"/>
    <x v="1"/>
    <n v="2"/>
    <x v="1"/>
    <x v="1"/>
    <x v="1"/>
    <s v="Cafetera Espresso"/>
    <n v="1"/>
    <n v="15000"/>
    <n v="15000"/>
  </r>
  <r>
    <n v="103"/>
    <x v="2"/>
    <n v="1"/>
    <x v="0"/>
    <x v="0"/>
    <x v="0"/>
    <s v="Mouse Inalámbrico"/>
    <n v="2"/>
    <n v="2500"/>
    <n v="5000"/>
  </r>
  <r>
    <n v="104"/>
    <x v="3"/>
    <n v="3"/>
    <x v="2"/>
    <x v="2"/>
    <x v="2"/>
    <s v="Chaqueta de Cuero"/>
    <n v="1"/>
    <n v="18000"/>
    <n v="18000"/>
  </r>
  <r>
    <n v="105"/>
    <x v="4"/>
    <n v="4"/>
    <x v="3"/>
    <x v="3"/>
    <x v="0"/>
    <s v="Audífonos Bluetooth"/>
    <n v="1"/>
    <n v="8000"/>
    <n v="8000"/>
  </r>
  <r>
    <n v="106"/>
    <x v="5"/>
    <n v="2"/>
    <x v="1"/>
    <x v="1"/>
    <x v="1"/>
    <s v="Set de Sartenes"/>
    <n v="1"/>
    <n v="9000"/>
    <n v="9000"/>
  </r>
  <r>
    <n v="107"/>
    <x v="6"/>
    <n v="5"/>
    <x v="4"/>
    <x v="0"/>
    <x v="2"/>
    <s v="Zapatillas Deportivas"/>
    <n v="1"/>
    <n v="11000"/>
    <n v="11000"/>
  </r>
  <r>
    <n v="108"/>
    <x v="7"/>
    <n v="1"/>
    <x v="0"/>
    <x v="0"/>
    <x v="0"/>
    <s v="Monitor 27 Pulgadas"/>
    <n v="1"/>
    <n v="30000"/>
    <n v="30000"/>
  </r>
  <r>
    <n v="109"/>
    <x v="8"/>
    <n v="3"/>
    <x v="2"/>
    <x v="2"/>
    <x v="2"/>
    <s v="Camisa Algodón"/>
    <n v="3"/>
    <n v="3500"/>
    <n v="10500"/>
  </r>
  <r>
    <n v="110"/>
    <x v="9"/>
    <n v="6"/>
    <x v="5"/>
    <x v="1"/>
    <x v="1"/>
    <s v="Aspiradora Robot"/>
    <n v="1"/>
    <n v="25000"/>
    <n v="25000"/>
  </r>
  <r>
    <n v="111"/>
    <x v="10"/>
    <n v="4"/>
    <x v="3"/>
    <x v="3"/>
    <x v="0"/>
    <s v="Teclado Mecánico"/>
    <n v="1"/>
    <n v="9500"/>
    <n v="9500"/>
  </r>
  <r>
    <n v="112"/>
    <x v="11"/>
    <n v="2"/>
    <x v="1"/>
    <x v="1"/>
    <x v="0"/>
    <s v="Tablet 10 Pulgadas"/>
    <n v="1"/>
    <n v="22000"/>
    <n v="2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CD9B3-5D78-48D3-9FDD-B2E5377567F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1">
  <location ref="B7:C11" firstHeaderRow="1" firstDataRow="1" firstDataCol="1"/>
  <pivotFields count="12"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total_ventas" fld="9" baseField="5" baseItem="0" numFmtId="4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"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21F77-2BE2-4C98-9A21-FA1F9B8F6AD0}" name="TablaDinámica3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4">
  <location ref="F7:G11" firstHeaderRow="1" firstDataRow="1" firstDataCol="1"/>
  <pivotFields count="12"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 measureFilter="1" sortType="descending">
      <items count="7">
        <item x="1"/>
        <item x="0"/>
        <item x="4"/>
        <item x="2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1"/>
        <item x="3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4">
    <i>
      <x v="1"/>
    </i>
    <i>
      <x/>
    </i>
    <i>
      <x v="3"/>
    </i>
    <i t="grand">
      <x/>
    </i>
  </rowItems>
  <colItems count="1">
    <i/>
  </colItems>
  <dataFields count="1">
    <dataField name="Suma de total_ventas" fld="9" baseField="0" baseItem="0" numFmtId="44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4D5B1-FFAC-4DC1-863E-9F83CA41D2BA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B15:C20" firstHeaderRow="1" firstDataRow="1" firstDataCol="1"/>
  <pivotFields count="12">
    <pivotField showAll="0"/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total_ventas" fld="9" baseField="0" baseItem="0" numFmtId="44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5812EE8-60BB-423E-9031-94531C3C00FE}" autoFormatId="16" applyNumberFormats="0" applyBorderFormats="0" applyFontFormats="0" applyPatternFormats="0" applyAlignmentFormats="0" applyWidthHeightFormats="0">
  <queryTableRefresh nextId="11">
    <queryTableFields count="10">
      <queryTableField id="1" name="venta_id" tableColumnId="1"/>
      <queryTableField id="2" name="fecha_venta" tableColumnId="2"/>
      <queryTableField id="3" name="cliente_id" tableColumnId="3"/>
      <queryTableField id="4" name="cliente" tableColumnId="4"/>
      <queryTableField id="5" name="pais" tableColumnId="5"/>
      <queryTableField id="6" name="categoria" tableColumnId="6"/>
      <queryTableField id="7" name="producto" tableColumnId="7"/>
      <queryTableField id="8" name="cantidad" tableColumnId="8"/>
      <queryTableField id="9" name="precio_unitario" tableColumnId="9"/>
      <queryTableField id="10" name="total_ventas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is" xr10:uid="{0259160F-2389-4E38-B9A3-1A0B3777D50B}" sourceName="pais">
  <pivotTables>
    <pivotTable tabId="3" name="TablaDinámica1"/>
    <pivotTable tabId="3" name="TablaDinámica2"/>
    <pivotTable tabId="3" name="TablaDinámica3"/>
  </pivotTables>
  <data>
    <tabular pivotCacheId="2098847967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EE8AD820-C37A-4D93-B38C-EE26AA0777DB}" sourceName="categoria">
  <pivotTables>
    <pivotTable tabId="3" name="TablaDinámica1"/>
    <pivotTable tabId="3" name="TablaDinámica2"/>
    <pivotTable tabId="3" name="TablaDinámica3"/>
  </pivotTables>
  <data>
    <tabular pivotCacheId="2098847967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is" xr10:uid="{933BCFC2-8414-4301-838C-CEA956F4323F}" cache="SegmentaciónDeDatos_pais" caption="pais" rowHeight="247650"/>
  <slicer name="categoria" xr10:uid="{B5BFDCA6-AE1B-4291-B4BC-E7A48105AA1E}" cache="SegmentaciónDeDatos_categoria" caption="categoria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BC723A-EBED-4A86-890E-6478C6266AB6}" name="reporte_ventas_consolidado" displayName="reporte_ventas_consolidado" ref="B2:K14" tableType="queryTable" totalsRowShown="0">
  <autoFilter ref="B2:K14" xr:uid="{FDBC723A-EBED-4A86-890E-6478C6266AB6}"/>
  <tableColumns count="10">
    <tableColumn id="1" xr3:uid="{9E124596-393A-431B-A191-6A426E6BFBD6}" uniqueName="1" name="venta_id" queryTableFieldId="1" dataDxfId="12"/>
    <tableColumn id="2" xr3:uid="{7C27C325-ED8C-4A4A-85D6-87EE60B68B24}" uniqueName="2" name="fecha_venta" queryTableFieldId="2" dataDxfId="11"/>
    <tableColumn id="3" xr3:uid="{1D4AC13F-89F2-4319-84B9-074693C45A6E}" uniqueName="3" name="cliente_id" queryTableFieldId="3"/>
    <tableColumn id="4" xr3:uid="{140A1E92-C1B6-462C-8A80-B484AAA112E1}" uniqueName="4" name="cliente" queryTableFieldId="4" dataDxfId="10"/>
    <tableColumn id="5" xr3:uid="{75504789-34A8-4F7B-8BEA-FB90F8788D88}" uniqueName="5" name="pais" queryTableFieldId="5" dataDxfId="9"/>
    <tableColumn id="6" xr3:uid="{E5BEC44A-8314-41C1-A73F-812DEDD42D2A}" uniqueName="6" name="categoria" queryTableFieldId="6" dataDxfId="8"/>
    <tableColumn id="7" xr3:uid="{EFEBD136-5233-4C90-A139-7C5A9324D99C}" uniqueName="7" name="producto" queryTableFieldId="7" dataDxfId="7"/>
    <tableColumn id="8" xr3:uid="{602F7EE9-BF04-4ADB-AD84-58863F34551B}" uniqueName="8" name="cantidad" queryTableFieldId="8"/>
    <tableColumn id="9" xr3:uid="{F0171E53-82DE-4712-B802-978887E935D4}" uniqueName="9" name="precio_unitario" queryTableFieldId="9" dataDxfId="6"/>
    <tableColumn id="10" xr3:uid="{805AA1D7-66E8-48FB-9966-5EE5EB11E541}" uniqueName="10" name="total_venta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A8D4-379D-4F17-A4C1-DBA457D7F2A6}">
  <dimension ref="B2:K14"/>
  <sheetViews>
    <sheetView zoomScaleNormal="100" workbookViewId="0">
      <selection activeCell="F22" sqref="F22"/>
    </sheetView>
  </sheetViews>
  <sheetFormatPr baseColWidth="10" defaultRowHeight="14.4" x14ac:dyDescent="0.3"/>
  <cols>
    <col min="1" max="1" width="10.21875" bestFit="1" customWidth="1"/>
    <col min="2" max="2" width="13.109375" bestFit="1" customWidth="1"/>
    <col min="3" max="3" width="12.77734375" style="1" customWidth="1"/>
    <col min="4" max="4" width="12.33203125" customWidth="1"/>
    <col min="5" max="5" width="19.109375" customWidth="1"/>
    <col min="6" max="6" width="15.88671875" customWidth="1"/>
    <col min="7" max="7" width="17.6640625" bestFit="1" customWidth="1"/>
    <col min="8" max="8" width="20.21875" customWidth="1"/>
    <col min="9" max="9" width="15.77734375" bestFit="1" customWidth="1"/>
    <col min="10" max="10" width="13.33203125" bestFit="1" customWidth="1"/>
  </cols>
  <sheetData>
    <row r="2" spans="2:11" x14ac:dyDescent="0.3">
      <c r="B2" t="s">
        <v>0</v>
      </c>
      <c r="C2" s="1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2:11" x14ac:dyDescent="0.3">
      <c r="B3">
        <v>101</v>
      </c>
      <c r="C3" s="1">
        <v>45311</v>
      </c>
      <c r="D3">
        <v>1</v>
      </c>
      <c r="E3" t="s">
        <v>10</v>
      </c>
      <c r="F3" t="s">
        <v>11</v>
      </c>
      <c r="G3" t="s">
        <v>12</v>
      </c>
      <c r="H3" t="s">
        <v>13</v>
      </c>
      <c r="I3">
        <v>1</v>
      </c>
      <c r="J3">
        <v>120000</v>
      </c>
      <c r="K3">
        <v>120000</v>
      </c>
    </row>
    <row r="4" spans="2:11" x14ac:dyDescent="0.3">
      <c r="B4">
        <v>102</v>
      </c>
      <c r="C4" s="1">
        <v>45332</v>
      </c>
      <c r="D4">
        <v>2</v>
      </c>
      <c r="E4" t="s">
        <v>14</v>
      </c>
      <c r="F4" t="s">
        <v>15</v>
      </c>
      <c r="G4" t="s">
        <v>16</v>
      </c>
      <c r="H4" t="s">
        <v>17</v>
      </c>
      <c r="I4">
        <v>1</v>
      </c>
      <c r="J4">
        <v>15000</v>
      </c>
      <c r="K4">
        <v>15000</v>
      </c>
    </row>
    <row r="5" spans="2:11" x14ac:dyDescent="0.3">
      <c r="B5">
        <v>103</v>
      </c>
      <c r="C5" s="1">
        <v>45337</v>
      </c>
      <c r="D5">
        <v>1</v>
      </c>
      <c r="E5" t="s">
        <v>10</v>
      </c>
      <c r="F5" t="s">
        <v>11</v>
      </c>
      <c r="G5" t="s">
        <v>12</v>
      </c>
      <c r="H5" t="s">
        <v>18</v>
      </c>
      <c r="I5">
        <v>2</v>
      </c>
      <c r="J5">
        <v>2500</v>
      </c>
      <c r="K5">
        <v>5000</v>
      </c>
    </row>
    <row r="6" spans="2:11" x14ac:dyDescent="0.3">
      <c r="B6">
        <v>104</v>
      </c>
      <c r="C6" s="1">
        <v>45344</v>
      </c>
      <c r="D6">
        <v>3</v>
      </c>
      <c r="E6" t="s">
        <v>19</v>
      </c>
      <c r="F6" t="s">
        <v>20</v>
      </c>
      <c r="G6" t="s">
        <v>21</v>
      </c>
      <c r="H6" t="s">
        <v>22</v>
      </c>
      <c r="I6">
        <v>1</v>
      </c>
      <c r="J6">
        <v>18000</v>
      </c>
      <c r="K6">
        <v>18000</v>
      </c>
    </row>
    <row r="7" spans="2:11" x14ac:dyDescent="0.3">
      <c r="B7">
        <v>105</v>
      </c>
      <c r="C7" s="1">
        <v>45361</v>
      </c>
      <c r="D7">
        <v>4</v>
      </c>
      <c r="E7" t="s">
        <v>23</v>
      </c>
      <c r="F7" t="s">
        <v>24</v>
      </c>
      <c r="G7" t="s">
        <v>12</v>
      </c>
      <c r="H7" t="s">
        <v>25</v>
      </c>
      <c r="I7">
        <v>1</v>
      </c>
      <c r="J7">
        <v>8000</v>
      </c>
      <c r="K7">
        <v>8000</v>
      </c>
    </row>
    <row r="8" spans="2:11" x14ac:dyDescent="0.3">
      <c r="B8">
        <v>106</v>
      </c>
      <c r="C8" s="1">
        <v>45366</v>
      </c>
      <c r="D8">
        <v>2</v>
      </c>
      <c r="E8" t="s">
        <v>14</v>
      </c>
      <c r="F8" t="s">
        <v>15</v>
      </c>
      <c r="G8" t="s">
        <v>16</v>
      </c>
      <c r="H8" t="s">
        <v>26</v>
      </c>
      <c r="I8">
        <v>1</v>
      </c>
      <c r="J8">
        <v>9000</v>
      </c>
      <c r="K8">
        <v>9000</v>
      </c>
    </row>
    <row r="9" spans="2:11" x14ac:dyDescent="0.3">
      <c r="B9">
        <v>107</v>
      </c>
      <c r="C9" s="1">
        <v>45369</v>
      </c>
      <c r="D9">
        <v>5</v>
      </c>
      <c r="E9" t="s">
        <v>27</v>
      </c>
      <c r="F9" t="s">
        <v>11</v>
      </c>
      <c r="G9" t="s">
        <v>21</v>
      </c>
      <c r="H9" t="s">
        <v>28</v>
      </c>
      <c r="I9">
        <v>1</v>
      </c>
      <c r="J9">
        <v>11000</v>
      </c>
      <c r="K9">
        <v>11000</v>
      </c>
    </row>
    <row r="10" spans="2:11" x14ac:dyDescent="0.3">
      <c r="B10">
        <v>108</v>
      </c>
      <c r="C10" s="1">
        <v>45376</v>
      </c>
      <c r="D10">
        <v>1</v>
      </c>
      <c r="E10" t="s">
        <v>10</v>
      </c>
      <c r="F10" t="s">
        <v>11</v>
      </c>
      <c r="G10" t="s">
        <v>12</v>
      </c>
      <c r="H10" t="s">
        <v>29</v>
      </c>
      <c r="I10">
        <v>1</v>
      </c>
      <c r="J10">
        <v>30000</v>
      </c>
      <c r="K10">
        <v>30000</v>
      </c>
    </row>
    <row r="11" spans="2:11" x14ac:dyDescent="0.3">
      <c r="B11">
        <v>109</v>
      </c>
      <c r="C11" s="1">
        <v>45384</v>
      </c>
      <c r="D11">
        <v>3</v>
      </c>
      <c r="E11" t="s">
        <v>19</v>
      </c>
      <c r="F11" t="s">
        <v>20</v>
      </c>
      <c r="G11" t="s">
        <v>21</v>
      </c>
      <c r="H11" t="s">
        <v>30</v>
      </c>
      <c r="I11">
        <v>3</v>
      </c>
      <c r="J11">
        <v>3500</v>
      </c>
      <c r="K11">
        <v>10500</v>
      </c>
    </row>
    <row r="12" spans="2:11" x14ac:dyDescent="0.3">
      <c r="B12">
        <v>110</v>
      </c>
      <c r="C12" s="1">
        <v>45387</v>
      </c>
      <c r="D12">
        <v>6</v>
      </c>
      <c r="E12" t="s">
        <v>31</v>
      </c>
      <c r="F12" t="s">
        <v>15</v>
      </c>
      <c r="G12" t="s">
        <v>16</v>
      </c>
      <c r="H12" t="s">
        <v>32</v>
      </c>
      <c r="I12">
        <v>1</v>
      </c>
      <c r="J12">
        <v>25000</v>
      </c>
      <c r="K12">
        <v>25000</v>
      </c>
    </row>
    <row r="13" spans="2:11" x14ac:dyDescent="0.3">
      <c r="B13">
        <v>111</v>
      </c>
      <c r="C13" s="1">
        <v>45394</v>
      </c>
      <c r="D13">
        <v>4</v>
      </c>
      <c r="E13" t="s">
        <v>23</v>
      </c>
      <c r="F13" t="s">
        <v>24</v>
      </c>
      <c r="G13" t="s">
        <v>12</v>
      </c>
      <c r="H13" t="s">
        <v>33</v>
      </c>
      <c r="I13">
        <v>1</v>
      </c>
      <c r="J13">
        <v>9500</v>
      </c>
      <c r="K13">
        <v>9500</v>
      </c>
    </row>
    <row r="14" spans="2:11" x14ac:dyDescent="0.3">
      <c r="B14">
        <v>112</v>
      </c>
      <c r="C14" s="1">
        <v>45402</v>
      </c>
      <c r="D14">
        <v>2</v>
      </c>
      <c r="E14" t="s">
        <v>14</v>
      </c>
      <c r="F14" t="s">
        <v>15</v>
      </c>
      <c r="G14" t="s">
        <v>12</v>
      </c>
      <c r="H14" t="s">
        <v>34</v>
      </c>
      <c r="I14">
        <v>1</v>
      </c>
      <c r="J14">
        <v>22000</v>
      </c>
      <c r="K14">
        <v>22000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E0F7-D49D-4C6C-8D77-41F4D8C0D089}">
  <dimension ref="B5:G20"/>
  <sheetViews>
    <sheetView zoomScaleNormal="100" workbookViewId="0">
      <selection activeCell="E14" sqref="E14"/>
    </sheetView>
  </sheetViews>
  <sheetFormatPr baseColWidth="10" defaultRowHeight="14.4" x14ac:dyDescent="0.3"/>
  <cols>
    <col min="2" max="2" width="16.5546875" bestFit="1" customWidth="1"/>
    <col min="3" max="3" width="20.109375" bestFit="1" customWidth="1"/>
    <col min="6" max="6" width="16.5546875" bestFit="1" customWidth="1"/>
    <col min="7" max="7" width="18.77734375" bestFit="1" customWidth="1"/>
  </cols>
  <sheetData>
    <row r="5" spans="2:7" x14ac:dyDescent="0.3">
      <c r="B5" t="s">
        <v>44</v>
      </c>
      <c r="F5" t="s">
        <v>43</v>
      </c>
    </row>
    <row r="7" spans="2:7" x14ac:dyDescent="0.3">
      <c r="B7" s="3" t="s">
        <v>35</v>
      </c>
      <c r="C7" s="2" t="s">
        <v>37</v>
      </c>
      <c r="F7" s="3" t="s">
        <v>35</v>
      </c>
      <c r="G7" s="2" t="s">
        <v>37</v>
      </c>
    </row>
    <row r="8" spans="2:7" x14ac:dyDescent="0.3">
      <c r="B8" s="4" t="s">
        <v>12</v>
      </c>
      <c r="C8" s="2">
        <v>194500</v>
      </c>
      <c r="F8" s="4" t="s">
        <v>10</v>
      </c>
      <c r="G8" s="2">
        <v>155000</v>
      </c>
    </row>
    <row r="9" spans="2:7" x14ac:dyDescent="0.3">
      <c r="B9" s="4" t="s">
        <v>16</v>
      </c>
      <c r="C9" s="2">
        <v>49000</v>
      </c>
      <c r="F9" s="4" t="s">
        <v>14</v>
      </c>
      <c r="G9" s="2">
        <v>46000</v>
      </c>
    </row>
    <row r="10" spans="2:7" x14ac:dyDescent="0.3">
      <c r="B10" s="4" t="s">
        <v>21</v>
      </c>
      <c r="C10" s="2">
        <v>39500</v>
      </c>
      <c r="F10" s="4" t="s">
        <v>19</v>
      </c>
      <c r="G10" s="2">
        <v>28500</v>
      </c>
    </row>
    <row r="11" spans="2:7" x14ac:dyDescent="0.3">
      <c r="B11" s="4" t="s">
        <v>36</v>
      </c>
      <c r="C11" s="2">
        <v>283000</v>
      </c>
      <c r="F11" s="4" t="s">
        <v>36</v>
      </c>
      <c r="G11" s="2">
        <v>229500</v>
      </c>
    </row>
    <row r="12" spans="2:7" x14ac:dyDescent="0.3">
      <c r="G12" s="5"/>
    </row>
    <row r="13" spans="2:7" x14ac:dyDescent="0.3">
      <c r="B13" t="s">
        <v>38</v>
      </c>
    </row>
    <row r="15" spans="2:7" x14ac:dyDescent="0.3">
      <c r="B15" s="3" t="s">
        <v>35</v>
      </c>
      <c r="C15" s="2" t="s">
        <v>37</v>
      </c>
    </row>
    <row r="16" spans="2:7" x14ac:dyDescent="0.3">
      <c r="B16" s="4" t="s">
        <v>39</v>
      </c>
      <c r="C16" s="2">
        <v>120000</v>
      </c>
    </row>
    <row r="17" spans="2:3" x14ac:dyDescent="0.3">
      <c r="B17" s="4" t="s">
        <v>40</v>
      </c>
      <c r="C17" s="2">
        <v>38000</v>
      </c>
    </row>
    <row r="18" spans="2:3" x14ac:dyDescent="0.3">
      <c r="B18" s="4" t="s">
        <v>41</v>
      </c>
      <c r="C18" s="2">
        <v>58000</v>
      </c>
    </row>
    <row r="19" spans="2:3" x14ac:dyDescent="0.3">
      <c r="B19" s="4" t="s">
        <v>42</v>
      </c>
      <c r="C19" s="2">
        <v>67000</v>
      </c>
    </row>
    <row r="20" spans="2:3" x14ac:dyDescent="0.3">
      <c r="B20" s="4" t="s">
        <v>36</v>
      </c>
      <c r="C20" s="2">
        <v>283000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C20E-64B0-4E49-BC40-277348BA5F0F}">
  <dimension ref="G13:K52"/>
  <sheetViews>
    <sheetView showGridLines="0" tabSelected="1" topLeftCell="A8" zoomScale="70" zoomScaleNormal="70" workbookViewId="0">
      <selection activeCell="V22" sqref="V22"/>
    </sheetView>
  </sheetViews>
  <sheetFormatPr baseColWidth="10" defaultRowHeight="14.4" x14ac:dyDescent="0.3"/>
  <cols>
    <col min="10" max="10" width="15.6640625" customWidth="1"/>
  </cols>
  <sheetData>
    <row r="13" spans="8:10" x14ac:dyDescent="0.3">
      <c r="I13" s="5"/>
    </row>
    <row r="14" spans="8:10" x14ac:dyDescent="0.3">
      <c r="H14" s="8"/>
      <c r="I14" s="9"/>
      <c r="J14" s="10"/>
    </row>
    <row r="15" spans="8:10" x14ac:dyDescent="0.3">
      <c r="H15" s="11"/>
      <c r="I15" s="12"/>
      <c r="J15" s="13"/>
    </row>
    <row r="16" spans="8:10" ht="15.6" x14ac:dyDescent="0.3">
      <c r="H16" s="11"/>
      <c r="J16" s="14">
        <f>GETPIVOTDATA("total_ventas",Tablas_Dinamicas!$B$7)</f>
        <v>283000</v>
      </c>
    </row>
    <row r="17" spans="7:10" x14ac:dyDescent="0.3">
      <c r="H17" s="11"/>
      <c r="J17" s="13"/>
    </row>
    <row r="18" spans="7:10" x14ac:dyDescent="0.3">
      <c r="G18" s="2"/>
      <c r="H18" s="17"/>
      <c r="I18" s="18"/>
      <c r="J18" s="19"/>
    </row>
    <row r="19" spans="7:10" x14ac:dyDescent="0.3">
      <c r="H19" s="8"/>
      <c r="I19" s="20"/>
      <c r="J19" s="10"/>
    </row>
    <row r="20" spans="7:10" x14ac:dyDescent="0.3">
      <c r="H20" s="11"/>
      <c r="J20" s="13"/>
    </row>
    <row r="21" spans="7:10" ht="15.6" x14ac:dyDescent="0.3">
      <c r="H21" s="11"/>
      <c r="J21" s="15">
        <f>COUNT(reporte_ventas_consolidado[venta_id])</f>
        <v>12</v>
      </c>
    </row>
    <row r="22" spans="7:10" x14ac:dyDescent="0.3">
      <c r="H22" s="17"/>
      <c r="I22" s="18"/>
      <c r="J22" s="19"/>
    </row>
    <row r="23" spans="7:10" x14ac:dyDescent="0.3">
      <c r="H23" s="11"/>
      <c r="J23" s="13"/>
    </row>
    <row r="24" spans="7:10" x14ac:dyDescent="0.3">
      <c r="H24" s="11"/>
      <c r="J24" s="16">
        <f>J16/J21</f>
        <v>23583.333333333332</v>
      </c>
    </row>
    <row r="25" spans="7:10" x14ac:dyDescent="0.3">
      <c r="H25" s="11"/>
      <c r="J25" s="13"/>
    </row>
    <row r="26" spans="7:10" x14ac:dyDescent="0.3">
      <c r="H26" s="17"/>
      <c r="I26" s="18"/>
      <c r="J26" s="19"/>
    </row>
    <row r="31" spans="7:10" ht="36.6" x14ac:dyDescent="0.7">
      <c r="J31" s="7"/>
    </row>
    <row r="52" spans="11:11" x14ac:dyDescent="0.3">
      <c r="K52" s="6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A7DA0B-A3C6-4591-80FD-75A26A922D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reporte_ventas_consolidado</vt:lpstr>
      <vt:lpstr>Tablas_Dinamicas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velaides</dc:creator>
  <cp:lastModifiedBy>sergio velaides</cp:lastModifiedBy>
  <dcterms:created xsi:type="dcterms:W3CDTF">2026-08-26T21:31:19Z</dcterms:created>
  <dcterms:modified xsi:type="dcterms:W3CDTF">2026-08-26T23:53:02Z</dcterms:modified>
</cp:coreProperties>
</file>